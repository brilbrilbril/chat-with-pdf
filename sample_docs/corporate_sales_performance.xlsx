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1A4D4C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A4D4C"/>
        <bgColor rgb="001A4D4C"/>
      </patternFill>
    </fill>
    <fill>
      <patternFill patternType="solid">
        <fgColor rgb="00F2F7F7"/>
        <bgColor rgb="00F2F7F7"/>
      </patternFill>
    </fill>
    <fill>
      <patternFill patternType="solid">
        <fgColor rgb="00E6EEEE"/>
        <bgColor rgb="00E6EEE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CCCCCC"/>
      </top>
      <bottom style="double">
        <color rgb="0033333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0" fontId="0" fillId="4" borderId="2" pivotButton="0" quotePrefix="0" xfId="0"/>
    <xf numFmtId="3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ont>
        <name val="Calibri"/>
        <b val="1"/>
        <color rgb="00155724"/>
        <sz val="11"/>
      </font>
      <fill>
        <patternFill patternType="solid">
          <fgColor rgb="00D4EDDA"/>
          <b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7" customWidth="1" min="4" max="4"/>
    <col width="25" customWidth="1" min="5" max="5"/>
    <col width="16" customWidth="1" min="6" max="6"/>
    <col width="14" customWidth="1" min="7" max="7"/>
    <col width="19" customWidth="1" min="8" max="8"/>
    <col width="46" customWidth="1" min="9" max="9"/>
  </cols>
  <sheetData>
    <row r="1" ht="30" customHeight="1">
      <c r="A1" s="1" t="inlineStr">
        <is>
          <t>Corporate Sales Performance Dashboard</t>
        </is>
      </c>
    </row>
    <row r="2" ht="20" customHeight="1">
      <c r="A2" s="2" t="inlineStr">
        <is>
          <t>Fiscal Year 2026 | Product &amp; Region Matrix</t>
        </is>
      </c>
    </row>
    <row r="3"/>
    <row r="4" ht="26" customHeight="1">
      <c r="A4" s="3" t="inlineStr">
        <is>
          <t>Transaction ID</t>
        </is>
      </c>
      <c r="B4" s="3" t="inlineStr">
        <is>
          <t>Date</t>
        </is>
      </c>
      <c r="C4" s="3" t="inlineStr">
        <is>
          <t>Region</t>
        </is>
      </c>
      <c r="D4" s="4" t="inlineStr">
        <is>
          <t>Sales Rep</t>
        </is>
      </c>
      <c r="E4" s="4" t="inlineStr">
        <is>
          <t>Product Category</t>
        </is>
      </c>
      <c r="F4" s="5" t="inlineStr">
        <is>
          <t>Units Sold</t>
        </is>
      </c>
      <c r="G4" s="5" t="inlineStr">
        <is>
          <t>Unit Price</t>
        </is>
      </c>
      <c r="H4" s="5" t="inlineStr">
        <is>
          <t>Gross Sales</t>
        </is>
      </c>
      <c r="I4" s="3" t="inlineStr">
        <is>
          <t>Status</t>
        </is>
      </c>
    </row>
    <row r="5" ht="20" customHeight="1">
      <c r="A5" s="6" t="inlineStr">
        <is>
          <t>TXN-1001</t>
        </is>
      </c>
      <c r="B5" s="7" t="n">
        <v>46029</v>
      </c>
      <c r="C5" s="6" t="inlineStr">
        <is>
          <t>East</t>
        </is>
      </c>
      <c r="D5" s="8" t="inlineStr">
        <is>
          <t>Sarah Connor</t>
        </is>
      </c>
      <c r="E5" s="8" t="inlineStr">
        <is>
          <t>Consulting Services</t>
        </is>
      </c>
      <c r="F5" s="9" t="n">
        <v>38</v>
      </c>
      <c r="G5" s="10" t="n">
        <v>45</v>
      </c>
      <c r="H5" s="10">
        <f>F5*G5</f>
        <v/>
      </c>
      <c r="I5" s="6">
        <f>IF(H5&gt;15000,"High Performer","Standard")</f>
        <v/>
      </c>
    </row>
    <row r="6" ht="20" customHeight="1">
      <c r="A6" s="11" t="inlineStr">
        <is>
          <t>TXN-1002</t>
        </is>
      </c>
      <c r="B6" s="12" t="n">
        <v>46031</v>
      </c>
      <c r="C6" s="11" t="inlineStr">
        <is>
          <t>South</t>
        </is>
      </c>
      <c r="D6" s="13" t="inlineStr">
        <is>
          <t>Bruce Wayne</t>
        </is>
      </c>
      <c r="E6" s="13" t="inlineStr">
        <is>
          <t>Cloud Infrastructure</t>
        </is>
      </c>
      <c r="F6" s="14" t="n">
        <v>80</v>
      </c>
      <c r="G6" s="15" t="n">
        <v>89.98999999999999</v>
      </c>
      <c r="H6" s="15">
        <f>F6*G6</f>
        <v/>
      </c>
      <c r="I6" s="11">
        <f>IF(H6&gt;15000,"High Performer","Standard")</f>
        <v/>
      </c>
    </row>
    <row r="7" ht="20" customHeight="1">
      <c r="A7" s="6" t="inlineStr">
        <is>
          <t>TXN-1003</t>
        </is>
      </c>
      <c r="B7" s="7" t="n">
        <v>46033</v>
      </c>
      <c r="C7" s="6" t="inlineStr">
        <is>
          <t>West</t>
        </is>
      </c>
      <c r="D7" s="8" t="inlineStr">
        <is>
          <t>Diana Prince</t>
        </is>
      </c>
      <c r="E7" s="8" t="inlineStr">
        <is>
          <t>Cybersecurity Modules</t>
        </is>
      </c>
      <c r="F7" s="9" t="n">
        <v>67</v>
      </c>
      <c r="G7" s="10" t="n">
        <v>89.98999999999999</v>
      </c>
      <c r="H7" s="10">
        <f>F7*G7</f>
        <v/>
      </c>
      <c r="I7" s="6">
        <f>IF(H7&gt;15000,"High Performer","Standard")</f>
        <v/>
      </c>
    </row>
    <row r="8" ht="20" customHeight="1">
      <c r="A8" s="11" t="inlineStr">
        <is>
          <t>TXN-1004</t>
        </is>
      </c>
      <c r="B8" s="12" t="n">
        <v>46035</v>
      </c>
      <c r="C8" s="11" t="inlineStr">
        <is>
          <t>Midwest</t>
        </is>
      </c>
      <c r="D8" s="13" t="inlineStr">
        <is>
          <t>Tony Stark</t>
        </is>
      </c>
      <c r="E8" s="13" t="inlineStr">
        <is>
          <t>Hardware Systems</t>
        </is>
      </c>
      <c r="F8" s="14" t="n">
        <v>36</v>
      </c>
      <c r="G8" s="15" t="n">
        <v>500</v>
      </c>
      <c r="H8" s="15">
        <f>F8*G8</f>
        <v/>
      </c>
      <c r="I8" s="11">
        <f>IF(H8&gt;15000,"High Performer","Standard")</f>
        <v/>
      </c>
    </row>
    <row r="9" ht="20" customHeight="1">
      <c r="A9" s="6" t="inlineStr">
        <is>
          <t>TXN-1005</t>
        </is>
      </c>
      <c r="B9" s="7" t="n">
        <v>46037</v>
      </c>
      <c r="C9" s="6" t="inlineStr">
        <is>
          <t>North</t>
        </is>
      </c>
      <c r="D9" s="8" t="inlineStr">
        <is>
          <t>Elena Gilbert</t>
        </is>
      </c>
      <c r="E9" s="8" t="inlineStr">
        <is>
          <t>Enterprise Software</t>
        </is>
      </c>
      <c r="F9" s="9" t="n">
        <v>32</v>
      </c>
      <c r="G9" s="10" t="n">
        <v>500</v>
      </c>
      <c r="H9" s="10">
        <f>F9*G9</f>
        <v/>
      </c>
      <c r="I9" s="6">
        <f>IF(H9&gt;15000,"High Performer","Standard")</f>
        <v/>
      </c>
    </row>
    <row r="10" ht="20" customHeight="1">
      <c r="A10" s="11" t="inlineStr">
        <is>
          <t>TXN-1006</t>
        </is>
      </c>
      <c r="B10" s="12" t="n">
        <v>46039</v>
      </c>
      <c r="C10" s="11" t="inlineStr">
        <is>
          <t>East</t>
        </is>
      </c>
      <c r="D10" s="13" t="inlineStr">
        <is>
          <t>Clark Kent</t>
        </is>
      </c>
      <c r="E10" s="13" t="inlineStr">
        <is>
          <t>Consulting Services</t>
        </is>
      </c>
      <c r="F10" s="14" t="n">
        <v>118</v>
      </c>
      <c r="G10" s="15" t="n">
        <v>45</v>
      </c>
      <c r="H10" s="15">
        <f>F10*G10</f>
        <v/>
      </c>
      <c r="I10" s="11">
        <f>IF(H10&gt;15000,"High Performer","Standard")</f>
        <v/>
      </c>
    </row>
    <row r="11" ht="20" customHeight="1">
      <c r="A11" s="6" t="inlineStr">
        <is>
          <t>TXN-1007</t>
        </is>
      </c>
      <c r="B11" s="7" t="n">
        <v>46041</v>
      </c>
      <c r="C11" s="6" t="inlineStr">
        <is>
          <t>South</t>
        </is>
      </c>
      <c r="D11" s="8" t="inlineStr">
        <is>
          <t>Barry Allen</t>
        </is>
      </c>
      <c r="E11" s="8" t="inlineStr">
        <is>
          <t>Cloud Infrastructure</t>
        </is>
      </c>
      <c r="F11" s="9" t="n">
        <v>17</v>
      </c>
      <c r="G11" s="10" t="n">
        <v>45</v>
      </c>
      <c r="H11" s="10">
        <f>F11*G11</f>
        <v/>
      </c>
      <c r="I11" s="6">
        <f>IF(H11&gt;15000,"High Performer","Standard")</f>
        <v/>
      </c>
    </row>
    <row r="12" ht="20" customHeight="1">
      <c r="A12" s="11" t="inlineStr">
        <is>
          <t>TXN-1008</t>
        </is>
      </c>
      <c r="B12" s="12" t="n">
        <v>46043</v>
      </c>
      <c r="C12" s="11" t="inlineStr">
        <is>
          <t>West</t>
        </is>
      </c>
      <c r="D12" s="13" t="inlineStr">
        <is>
          <t>Alex Mercer</t>
        </is>
      </c>
      <c r="E12" s="13" t="inlineStr">
        <is>
          <t>Cybersecurity Modules</t>
        </is>
      </c>
      <c r="F12" s="14" t="n">
        <v>65</v>
      </c>
      <c r="G12" s="15" t="n">
        <v>89.98999999999999</v>
      </c>
      <c r="H12" s="15">
        <f>F12*G12</f>
        <v/>
      </c>
      <c r="I12" s="11">
        <f>IF(H12&gt;15000,"High Performer","Standard")</f>
        <v/>
      </c>
    </row>
    <row r="13" ht="20" customHeight="1">
      <c r="A13" s="6" t="inlineStr">
        <is>
          <t>TXN-1009</t>
        </is>
      </c>
      <c r="B13" s="7" t="n">
        <v>46045</v>
      </c>
      <c r="C13" s="6" t="inlineStr">
        <is>
          <t>Midwest</t>
        </is>
      </c>
      <c r="D13" s="8" t="inlineStr">
        <is>
          <t>Sarah Connor</t>
        </is>
      </c>
      <c r="E13" s="8" t="inlineStr">
        <is>
          <t>Hardware Systems</t>
        </is>
      </c>
      <c r="F13" s="9" t="n">
        <v>139</v>
      </c>
      <c r="G13" s="10" t="n">
        <v>500</v>
      </c>
      <c r="H13" s="10">
        <f>F13*G13</f>
        <v/>
      </c>
      <c r="I13" s="6">
        <f>IF(H13&gt;15000,"High Performer","Standard")</f>
        <v/>
      </c>
    </row>
    <row r="14" ht="20" customHeight="1">
      <c r="A14" s="11" t="inlineStr">
        <is>
          <t>TXN-1010</t>
        </is>
      </c>
      <c r="B14" s="12" t="n">
        <v>46047</v>
      </c>
      <c r="C14" s="11" t="inlineStr">
        <is>
          <t>North</t>
        </is>
      </c>
      <c r="D14" s="13" t="inlineStr">
        <is>
          <t>Bruce Wayne</t>
        </is>
      </c>
      <c r="E14" s="13" t="inlineStr">
        <is>
          <t>Enterprise Software</t>
        </is>
      </c>
      <c r="F14" s="14" t="n">
        <v>16</v>
      </c>
      <c r="G14" s="15" t="n">
        <v>500</v>
      </c>
      <c r="H14" s="15">
        <f>F14*G14</f>
        <v/>
      </c>
      <c r="I14" s="11">
        <f>IF(H14&gt;15000,"High Performer","Standard")</f>
        <v/>
      </c>
    </row>
    <row r="15" ht="20" customHeight="1">
      <c r="A15" s="6" t="inlineStr">
        <is>
          <t>TXN-1011</t>
        </is>
      </c>
      <c r="B15" s="7" t="n">
        <v>46049</v>
      </c>
      <c r="C15" s="6" t="inlineStr">
        <is>
          <t>East</t>
        </is>
      </c>
      <c r="D15" s="8" t="inlineStr">
        <is>
          <t>Diana Prince</t>
        </is>
      </c>
      <c r="E15" s="8" t="inlineStr">
        <is>
          <t>Consulting Services</t>
        </is>
      </c>
      <c r="F15" s="9" t="n">
        <v>60</v>
      </c>
      <c r="G15" s="10" t="n">
        <v>500</v>
      </c>
      <c r="H15" s="10">
        <f>F15*G15</f>
        <v/>
      </c>
      <c r="I15" s="6">
        <f>IF(H15&gt;15000,"High Performer","Standard")</f>
        <v/>
      </c>
    </row>
    <row r="16" ht="20" customHeight="1">
      <c r="A16" s="11" t="inlineStr">
        <is>
          <t>TXN-1012</t>
        </is>
      </c>
      <c r="B16" s="12" t="n">
        <v>46051</v>
      </c>
      <c r="C16" s="11" t="inlineStr">
        <is>
          <t>South</t>
        </is>
      </c>
      <c r="D16" s="13" t="inlineStr">
        <is>
          <t>Tony Stark</t>
        </is>
      </c>
      <c r="E16" s="13" t="inlineStr">
        <is>
          <t>Cloud Infrastructure</t>
        </is>
      </c>
      <c r="F16" s="14" t="n">
        <v>117</v>
      </c>
      <c r="G16" s="15" t="n">
        <v>89.98999999999999</v>
      </c>
      <c r="H16" s="15">
        <f>F16*G16</f>
        <v/>
      </c>
      <c r="I16" s="11">
        <f>IF(H16&gt;15000,"High Performer","Standard")</f>
        <v/>
      </c>
    </row>
    <row r="17" ht="20" customHeight="1">
      <c r="A17" s="6" t="inlineStr">
        <is>
          <t>TXN-1013</t>
        </is>
      </c>
      <c r="B17" s="7" t="n">
        <v>46053</v>
      </c>
      <c r="C17" s="6" t="inlineStr">
        <is>
          <t>West</t>
        </is>
      </c>
      <c r="D17" s="8" t="inlineStr">
        <is>
          <t>Elena Gilbert</t>
        </is>
      </c>
      <c r="E17" s="8" t="inlineStr">
        <is>
          <t>Cybersecurity Modules</t>
        </is>
      </c>
      <c r="F17" s="9" t="n">
        <v>124</v>
      </c>
      <c r="G17" s="10" t="n">
        <v>500</v>
      </c>
      <c r="H17" s="10">
        <f>F17*G17</f>
        <v/>
      </c>
      <c r="I17" s="6">
        <f>IF(H17&gt;15000,"High Performer","Standard")</f>
        <v/>
      </c>
    </row>
    <row r="18" ht="20" customHeight="1">
      <c r="A18" s="11" t="inlineStr">
        <is>
          <t>TXN-1014</t>
        </is>
      </c>
      <c r="B18" s="12" t="n">
        <v>46055</v>
      </c>
      <c r="C18" s="11" t="inlineStr">
        <is>
          <t>Midwest</t>
        </is>
      </c>
      <c r="D18" s="13" t="inlineStr">
        <is>
          <t>Clark Kent</t>
        </is>
      </c>
      <c r="E18" s="13" t="inlineStr">
        <is>
          <t>Hardware Systems</t>
        </is>
      </c>
      <c r="F18" s="14" t="n">
        <v>81</v>
      </c>
      <c r="G18" s="15" t="n">
        <v>45</v>
      </c>
      <c r="H18" s="15">
        <f>F18*G18</f>
        <v/>
      </c>
      <c r="I18" s="11">
        <f>IF(H18&gt;15000,"High Performer","Standard")</f>
        <v/>
      </c>
    </row>
    <row r="19" ht="20" customHeight="1">
      <c r="A19" s="6" t="inlineStr">
        <is>
          <t>TXN-1015</t>
        </is>
      </c>
      <c r="B19" s="7" t="n">
        <v>46057</v>
      </c>
      <c r="C19" s="6" t="inlineStr">
        <is>
          <t>North</t>
        </is>
      </c>
      <c r="D19" s="8" t="inlineStr">
        <is>
          <t>Barry Allen</t>
        </is>
      </c>
      <c r="E19" s="8" t="inlineStr">
        <is>
          <t>Enterprise Software</t>
        </is>
      </c>
      <c r="F19" s="9" t="n">
        <v>50</v>
      </c>
      <c r="G19" s="10" t="n">
        <v>250</v>
      </c>
      <c r="H19" s="10">
        <f>F19*G19</f>
        <v/>
      </c>
      <c r="I19" s="6">
        <f>IF(H19&gt;15000,"High Performer","Standard")</f>
        <v/>
      </c>
    </row>
    <row r="20" ht="20" customHeight="1">
      <c r="A20" s="11" t="inlineStr">
        <is>
          <t>TXN-1016</t>
        </is>
      </c>
      <c r="B20" s="12" t="n">
        <v>46059</v>
      </c>
      <c r="C20" s="11" t="inlineStr">
        <is>
          <t>East</t>
        </is>
      </c>
      <c r="D20" s="13" t="inlineStr">
        <is>
          <t>Alex Mercer</t>
        </is>
      </c>
      <c r="E20" s="13" t="inlineStr">
        <is>
          <t>Consulting Services</t>
        </is>
      </c>
      <c r="F20" s="14" t="n">
        <v>97</v>
      </c>
      <c r="G20" s="15" t="n">
        <v>120</v>
      </c>
      <c r="H20" s="15">
        <f>F20*G20</f>
        <v/>
      </c>
      <c r="I20" s="11">
        <f>IF(H20&gt;15000,"High Performer","Standard")</f>
        <v/>
      </c>
    </row>
    <row r="21" ht="20" customHeight="1">
      <c r="A21" s="6" t="inlineStr">
        <is>
          <t>TXN-1017</t>
        </is>
      </c>
      <c r="B21" s="7" t="n">
        <v>46061</v>
      </c>
      <c r="C21" s="6" t="inlineStr">
        <is>
          <t>South</t>
        </is>
      </c>
      <c r="D21" s="8" t="inlineStr">
        <is>
          <t>Sarah Connor</t>
        </is>
      </c>
      <c r="E21" s="8" t="inlineStr">
        <is>
          <t>Cloud Infrastructure</t>
        </is>
      </c>
      <c r="F21" s="9" t="n">
        <v>49</v>
      </c>
      <c r="G21" s="10" t="n">
        <v>89.98999999999999</v>
      </c>
      <c r="H21" s="10">
        <f>F21*G21</f>
        <v/>
      </c>
      <c r="I21" s="6">
        <f>IF(H21&gt;15000,"High Performer","Standard")</f>
        <v/>
      </c>
    </row>
    <row r="22" ht="20" customHeight="1">
      <c r="A22" s="11" t="inlineStr">
        <is>
          <t>TXN-1018</t>
        </is>
      </c>
      <c r="B22" s="12" t="n">
        <v>46063</v>
      </c>
      <c r="C22" s="11" t="inlineStr">
        <is>
          <t>West</t>
        </is>
      </c>
      <c r="D22" s="13" t="inlineStr">
        <is>
          <t>Bruce Wayne</t>
        </is>
      </c>
      <c r="E22" s="13" t="inlineStr">
        <is>
          <t>Cybersecurity Modules</t>
        </is>
      </c>
      <c r="F22" s="14" t="n">
        <v>96</v>
      </c>
      <c r="G22" s="15" t="n">
        <v>45</v>
      </c>
      <c r="H22" s="15">
        <f>F22*G22</f>
        <v/>
      </c>
      <c r="I22" s="11">
        <f>IF(H22&gt;15000,"High Performer","Standard")</f>
        <v/>
      </c>
    </row>
    <row r="23" ht="20" customHeight="1">
      <c r="A23" s="6" t="inlineStr">
        <is>
          <t>TXN-1019</t>
        </is>
      </c>
      <c r="B23" s="7" t="n">
        <v>46065</v>
      </c>
      <c r="C23" s="6" t="inlineStr">
        <is>
          <t>Midwest</t>
        </is>
      </c>
      <c r="D23" s="8" t="inlineStr">
        <is>
          <t>Diana Prince</t>
        </is>
      </c>
      <c r="E23" s="8" t="inlineStr">
        <is>
          <t>Hardware Systems</t>
        </is>
      </c>
      <c r="F23" s="9" t="n">
        <v>33</v>
      </c>
      <c r="G23" s="10" t="n">
        <v>250</v>
      </c>
      <c r="H23" s="10">
        <f>F23*G23</f>
        <v/>
      </c>
      <c r="I23" s="6">
        <f>IF(H23&gt;15000,"High Performer","Standard")</f>
        <v/>
      </c>
    </row>
    <row r="24" ht="20" customHeight="1">
      <c r="A24" s="11" t="inlineStr">
        <is>
          <t>TXN-1020</t>
        </is>
      </c>
      <c r="B24" s="12" t="n">
        <v>46067</v>
      </c>
      <c r="C24" s="11" t="inlineStr">
        <is>
          <t>North</t>
        </is>
      </c>
      <c r="D24" s="13" t="inlineStr">
        <is>
          <t>Tony Stark</t>
        </is>
      </c>
      <c r="E24" s="13" t="inlineStr">
        <is>
          <t>Enterprise Software</t>
        </is>
      </c>
      <c r="F24" s="14" t="n">
        <v>34</v>
      </c>
      <c r="G24" s="15" t="n">
        <v>120</v>
      </c>
      <c r="H24" s="15">
        <f>F24*G24</f>
        <v/>
      </c>
      <c r="I24" s="11">
        <f>IF(H24&gt;15000,"High Performer","Standard")</f>
        <v/>
      </c>
    </row>
    <row r="25" ht="20" customHeight="1">
      <c r="A25" s="6" t="inlineStr">
        <is>
          <t>TXN-1021</t>
        </is>
      </c>
      <c r="B25" s="7" t="n">
        <v>46069</v>
      </c>
      <c r="C25" s="6" t="inlineStr">
        <is>
          <t>East</t>
        </is>
      </c>
      <c r="D25" s="8" t="inlineStr">
        <is>
          <t>Elena Gilbert</t>
        </is>
      </c>
      <c r="E25" s="8" t="inlineStr">
        <is>
          <t>Consulting Services</t>
        </is>
      </c>
      <c r="F25" s="9" t="n">
        <v>98</v>
      </c>
      <c r="G25" s="10" t="n">
        <v>500</v>
      </c>
      <c r="H25" s="10">
        <f>F25*G25</f>
        <v/>
      </c>
      <c r="I25" s="6">
        <f>IF(H25&gt;15000,"High Performer","Standard")</f>
        <v/>
      </c>
    </row>
    <row r="26" ht="20" customHeight="1">
      <c r="A26" s="11" t="inlineStr">
        <is>
          <t>TXN-1022</t>
        </is>
      </c>
      <c r="B26" s="12" t="n">
        <v>46071</v>
      </c>
      <c r="C26" s="11" t="inlineStr">
        <is>
          <t>South</t>
        </is>
      </c>
      <c r="D26" s="13" t="inlineStr">
        <is>
          <t>Clark Kent</t>
        </is>
      </c>
      <c r="E26" s="13" t="inlineStr">
        <is>
          <t>Cloud Infrastructure</t>
        </is>
      </c>
      <c r="F26" s="14" t="n">
        <v>77</v>
      </c>
      <c r="G26" s="15" t="n">
        <v>45</v>
      </c>
      <c r="H26" s="15">
        <f>F26*G26</f>
        <v/>
      </c>
      <c r="I26" s="11">
        <f>IF(H26&gt;15000,"High Performer","Standard")</f>
        <v/>
      </c>
    </row>
    <row r="27" ht="20" customHeight="1">
      <c r="A27" s="6" t="inlineStr">
        <is>
          <t>TXN-1023</t>
        </is>
      </c>
      <c r="B27" s="7" t="n">
        <v>46073</v>
      </c>
      <c r="C27" s="6" t="inlineStr">
        <is>
          <t>West</t>
        </is>
      </c>
      <c r="D27" s="8" t="inlineStr">
        <is>
          <t>Barry Allen</t>
        </is>
      </c>
      <c r="E27" s="8" t="inlineStr">
        <is>
          <t>Cybersecurity Modules</t>
        </is>
      </c>
      <c r="F27" s="9" t="n">
        <v>127</v>
      </c>
      <c r="G27" s="10" t="n">
        <v>500</v>
      </c>
      <c r="H27" s="10">
        <f>F27*G27</f>
        <v/>
      </c>
      <c r="I27" s="6">
        <f>IF(H27&gt;15000,"High Performer","Standard")</f>
        <v/>
      </c>
    </row>
    <row r="28" ht="20" customHeight="1">
      <c r="A28" s="11" t="inlineStr">
        <is>
          <t>TXN-1024</t>
        </is>
      </c>
      <c r="B28" s="12" t="n">
        <v>46075</v>
      </c>
      <c r="C28" s="11" t="inlineStr">
        <is>
          <t>Midwest</t>
        </is>
      </c>
      <c r="D28" s="13" t="inlineStr">
        <is>
          <t>Alex Mercer</t>
        </is>
      </c>
      <c r="E28" s="13" t="inlineStr">
        <is>
          <t>Hardware Systems</t>
        </is>
      </c>
      <c r="F28" s="14" t="n">
        <v>41</v>
      </c>
      <c r="G28" s="15" t="n">
        <v>250</v>
      </c>
      <c r="H28" s="15">
        <f>F28*G28</f>
        <v/>
      </c>
      <c r="I28" s="11">
        <f>IF(H28&gt;15000,"High Performer","Standard")</f>
        <v/>
      </c>
    </row>
    <row r="29" ht="20" customHeight="1">
      <c r="A29" s="6" t="inlineStr">
        <is>
          <t>TXN-1025</t>
        </is>
      </c>
      <c r="B29" s="7" t="n">
        <v>46077</v>
      </c>
      <c r="C29" s="6" t="inlineStr">
        <is>
          <t>North</t>
        </is>
      </c>
      <c r="D29" s="8" t="inlineStr">
        <is>
          <t>Sarah Connor</t>
        </is>
      </c>
      <c r="E29" s="8" t="inlineStr">
        <is>
          <t>Enterprise Software</t>
        </is>
      </c>
      <c r="F29" s="9" t="n">
        <v>30</v>
      </c>
      <c r="G29" s="10" t="n">
        <v>500</v>
      </c>
      <c r="H29" s="10">
        <f>F29*G29</f>
        <v/>
      </c>
      <c r="I29" s="6">
        <f>IF(H29&gt;15000,"High Performer","Standard")</f>
        <v/>
      </c>
    </row>
    <row r="30" ht="20" customHeight="1">
      <c r="A30" s="11" t="inlineStr">
        <is>
          <t>TXN-1026</t>
        </is>
      </c>
      <c r="B30" s="12" t="n">
        <v>46079</v>
      </c>
      <c r="C30" s="11" t="inlineStr">
        <is>
          <t>East</t>
        </is>
      </c>
      <c r="D30" s="13" t="inlineStr">
        <is>
          <t>Bruce Wayne</t>
        </is>
      </c>
      <c r="E30" s="13" t="inlineStr">
        <is>
          <t>Consulting Services</t>
        </is>
      </c>
      <c r="F30" s="14" t="n">
        <v>85</v>
      </c>
      <c r="G30" s="15" t="n">
        <v>500</v>
      </c>
      <c r="H30" s="15">
        <f>F30*G30</f>
        <v/>
      </c>
      <c r="I30" s="11">
        <f>IF(H30&gt;15000,"High Performer","Standard")</f>
        <v/>
      </c>
    </row>
    <row r="31" ht="20" customHeight="1">
      <c r="A31" s="6" t="inlineStr">
        <is>
          <t>TXN-1027</t>
        </is>
      </c>
      <c r="B31" s="7" t="n">
        <v>46081</v>
      </c>
      <c r="C31" s="6" t="inlineStr">
        <is>
          <t>South</t>
        </is>
      </c>
      <c r="D31" s="8" t="inlineStr">
        <is>
          <t>Diana Prince</t>
        </is>
      </c>
      <c r="E31" s="8" t="inlineStr">
        <is>
          <t>Cloud Infrastructure</t>
        </is>
      </c>
      <c r="F31" s="9" t="n">
        <v>102</v>
      </c>
      <c r="G31" s="10" t="n">
        <v>500</v>
      </c>
      <c r="H31" s="10">
        <f>F31*G31</f>
        <v/>
      </c>
      <c r="I31" s="6">
        <f>IF(H31&gt;15000,"High Performer","Standard")</f>
        <v/>
      </c>
    </row>
    <row r="32" ht="20" customHeight="1">
      <c r="A32" s="11" t="inlineStr">
        <is>
          <t>TXN-1028</t>
        </is>
      </c>
      <c r="B32" s="12" t="n">
        <v>46083</v>
      </c>
      <c r="C32" s="11" t="inlineStr">
        <is>
          <t>West</t>
        </is>
      </c>
      <c r="D32" s="13" t="inlineStr">
        <is>
          <t>Tony Stark</t>
        </is>
      </c>
      <c r="E32" s="13" t="inlineStr">
        <is>
          <t>Cybersecurity Modules</t>
        </is>
      </c>
      <c r="F32" s="14" t="n">
        <v>59</v>
      </c>
      <c r="G32" s="15" t="n">
        <v>45</v>
      </c>
      <c r="H32" s="15">
        <f>F32*G32</f>
        <v/>
      </c>
      <c r="I32" s="11">
        <f>IF(H32&gt;15000,"High Performer","Standard")</f>
        <v/>
      </c>
    </row>
    <row r="33" ht="20" customHeight="1">
      <c r="A33" s="6" t="inlineStr">
        <is>
          <t>TXN-1029</t>
        </is>
      </c>
      <c r="B33" s="7" t="n">
        <v>46085</v>
      </c>
      <c r="C33" s="6" t="inlineStr">
        <is>
          <t>Midwest</t>
        </is>
      </c>
      <c r="D33" s="8" t="inlineStr">
        <is>
          <t>Elena Gilbert</t>
        </is>
      </c>
      <c r="E33" s="8" t="inlineStr">
        <is>
          <t>Hardware Systems</t>
        </is>
      </c>
      <c r="F33" s="9" t="n">
        <v>21</v>
      </c>
      <c r="G33" s="10" t="n">
        <v>89.98999999999999</v>
      </c>
      <c r="H33" s="10">
        <f>F33*G33</f>
        <v/>
      </c>
      <c r="I33" s="6">
        <f>IF(H33&gt;15000,"High Performer","Standard")</f>
        <v/>
      </c>
    </row>
    <row r="34" ht="20" customHeight="1">
      <c r="A34" s="11" t="inlineStr">
        <is>
          <t>TXN-1030</t>
        </is>
      </c>
      <c r="B34" s="12" t="n">
        <v>46087</v>
      </c>
      <c r="C34" s="11" t="inlineStr">
        <is>
          <t>North</t>
        </is>
      </c>
      <c r="D34" s="13" t="inlineStr">
        <is>
          <t>Clark Kent</t>
        </is>
      </c>
      <c r="E34" s="13" t="inlineStr">
        <is>
          <t>Enterprise Software</t>
        </is>
      </c>
      <c r="F34" s="14" t="n">
        <v>84</v>
      </c>
      <c r="G34" s="15" t="n">
        <v>45</v>
      </c>
      <c r="H34" s="15">
        <f>F34*G34</f>
        <v/>
      </c>
      <c r="I34" s="11">
        <f>IF(H34&gt;15000,"High Performer","Standard")</f>
        <v/>
      </c>
    </row>
    <row r="35" ht="20" customHeight="1">
      <c r="A35" s="6" t="inlineStr">
        <is>
          <t>TXN-1031</t>
        </is>
      </c>
      <c r="B35" s="7" t="n">
        <v>46089</v>
      </c>
      <c r="C35" s="6" t="inlineStr">
        <is>
          <t>East</t>
        </is>
      </c>
      <c r="D35" s="8" t="inlineStr">
        <is>
          <t>Barry Allen</t>
        </is>
      </c>
      <c r="E35" s="8" t="inlineStr">
        <is>
          <t>Consulting Services</t>
        </is>
      </c>
      <c r="F35" s="9" t="n">
        <v>69</v>
      </c>
      <c r="G35" s="10" t="n">
        <v>45</v>
      </c>
      <c r="H35" s="10">
        <f>F35*G35</f>
        <v/>
      </c>
      <c r="I35" s="6">
        <f>IF(H35&gt;15000,"High Performer","Standard")</f>
        <v/>
      </c>
    </row>
    <row r="36" ht="20" customHeight="1">
      <c r="A36" s="11" t="inlineStr">
        <is>
          <t>TXN-1032</t>
        </is>
      </c>
      <c r="B36" s="12" t="n">
        <v>46091</v>
      </c>
      <c r="C36" s="11" t="inlineStr">
        <is>
          <t>South</t>
        </is>
      </c>
      <c r="D36" s="13" t="inlineStr">
        <is>
          <t>Alex Mercer</t>
        </is>
      </c>
      <c r="E36" s="13" t="inlineStr">
        <is>
          <t>Cloud Infrastructure</t>
        </is>
      </c>
      <c r="F36" s="14" t="n">
        <v>107</v>
      </c>
      <c r="G36" s="15" t="n">
        <v>120</v>
      </c>
      <c r="H36" s="15">
        <f>F36*G36</f>
        <v/>
      </c>
      <c r="I36" s="11">
        <f>IF(H36&gt;15000,"High Performer","Standard")</f>
        <v/>
      </c>
    </row>
    <row r="37" ht="20" customHeight="1">
      <c r="A37" s="6" t="inlineStr">
        <is>
          <t>TXN-1033</t>
        </is>
      </c>
      <c r="B37" s="7" t="n">
        <v>46093</v>
      </c>
      <c r="C37" s="6" t="inlineStr">
        <is>
          <t>West</t>
        </is>
      </c>
      <c r="D37" s="8" t="inlineStr">
        <is>
          <t>Sarah Connor</t>
        </is>
      </c>
      <c r="E37" s="8" t="inlineStr">
        <is>
          <t>Cybersecurity Modules</t>
        </is>
      </c>
      <c r="F37" s="9" t="n">
        <v>126</v>
      </c>
      <c r="G37" s="10" t="n">
        <v>120</v>
      </c>
      <c r="H37" s="10">
        <f>F37*G37</f>
        <v/>
      </c>
      <c r="I37" s="6">
        <f>IF(H37&gt;15000,"High Performer","Standard")</f>
        <v/>
      </c>
    </row>
    <row r="38" ht="20" customHeight="1">
      <c r="A38" s="11" t="inlineStr">
        <is>
          <t>TXN-1034</t>
        </is>
      </c>
      <c r="B38" s="12" t="n">
        <v>46095</v>
      </c>
      <c r="C38" s="11" t="inlineStr">
        <is>
          <t>Midwest</t>
        </is>
      </c>
      <c r="D38" s="13" t="inlineStr">
        <is>
          <t>Bruce Wayne</t>
        </is>
      </c>
      <c r="E38" s="13" t="inlineStr">
        <is>
          <t>Hardware Systems</t>
        </is>
      </c>
      <c r="F38" s="14" t="n">
        <v>51</v>
      </c>
      <c r="G38" s="15" t="n">
        <v>120</v>
      </c>
      <c r="H38" s="15">
        <f>F38*G38</f>
        <v/>
      </c>
      <c r="I38" s="11">
        <f>IF(H38&gt;15000,"High Performer","Standard")</f>
        <v/>
      </c>
    </row>
    <row r="39" ht="20" customHeight="1">
      <c r="A39" s="6" t="inlineStr">
        <is>
          <t>TXN-1035</t>
        </is>
      </c>
      <c r="B39" s="7" t="n">
        <v>46097</v>
      </c>
      <c r="C39" s="6" t="inlineStr">
        <is>
          <t>North</t>
        </is>
      </c>
      <c r="D39" s="8" t="inlineStr">
        <is>
          <t>Diana Prince</t>
        </is>
      </c>
      <c r="E39" s="8" t="inlineStr">
        <is>
          <t>Enterprise Software</t>
        </is>
      </c>
      <c r="F39" s="9" t="n">
        <v>100</v>
      </c>
      <c r="G39" s="10" t="n">
        <v>89.98999999999999</v>
      </c>
      <c r="H39" s="10">
        <f>F39*G39</f>
        <v/>
      </c>
      <c r="I39" s="6">
        <f>IF(H39&gt;15000,"High Performer","Standard")</f>
        <v/>
      </c>
    </row>
    <row r="40" ht="20" customHeight="1">
      <c r="A40" s="11" t="inlineStr">
        <is>
          <t>TXN-1036</t>
        </is>
      </c>
      <c r="B40" s="12" t="n">
        <v>46099</v>
      </c>
      <c r="C40" s="11" t="inlineStr">
        <is>
          <t>East</t>
        </is>
      </c>
      <c r="D40" s="13" t="inlineStr">
        <is>
          <t>Tony Stark</t>
        </is>
      </c>
      <c r="E40" s="13" t="inlineStr">
        <is>
          <t>Consulting Services</t>
        </is>
      </c>
      <c r="F40" s="14" t="n">
        <v>78</v>
      </c>
      <c r="G40" s="15" t="n">
        <v>45</v>
      </c>
      <c r="H40" s="15">
        <f>F40*G40</f>
        <v/>
      </c>
      <c r="I40" s="11">
        <f>IF(H40&gt;15000,"High Performer","Standard")</f>
        <v/>
      </c>
    </row>
    <row r="41" ht="20" customHeight="1">
      <c r="A41" s="6" t="inlineStr">
        <is>
          <t>TXN-1037</t>
        </is>
      </c>
      <c r="B41" s="7" t="n">
        <v>46101</v>
      </c>
      <c r="C41" s="6" t="inlineStr">
        <is>
          <t>South</t>
        </is>
      </c>
      <c r="D41" s="8" t="inlineStr">
        <is>
          <t>Elena Gilbert</t>
        </is>
      </c>
      <c r="E41" s="8" t="inlineStr">
        <is>
          <t>Cloud Infrastructure</t>
        </is>
      </c>
      <c r="F41" s="9" t="n">
        <v>53</v>
      </c>
      <c r="G41" s="10" t="n">
        <v>500</v>
      </c>
      <c r="H41" s="10">
        <f>F41*G41</f>
        <v/>
      </c>
      <c r="I41" s="6">
        <f>IF(H41&gt;15000,"High Performer","Standard")</f>
        <v/>
      </c>
    </row>
    <row r="42" ht="20" customHeight="1">
      <c r="A42" s="11" t="inlineStr">
        <is>
          <t>TXN-1038</t>
        </is>
      </c>
      <c r="B42" s="12" t="n">
        <v>46103</v>
      </c>
      <c r="C42" s="11" t="inlineStr">
        <is>
          <t>West</t>
        </is>
      </c>
      <c r="D42" s="13" t="inlineStr">
        <is>
          <t>Clark Kent</t>
        </is>
      </c>
      <c r="E42" s="13" t="inlineStr">
        <is>
          <t>Cybersecurity Modules</t>
        </is>
      </c>
      <c r="F42" s="14" t="n">
        <v>72</v>
      </c>
      <c r="G42" s="15" t="n">
        <v>89.98999999999999</v>
      </c>
      <c r="H42" s="15">
        <f>F42*G42</f>
        <v/>
      </c>
      <c r="I42" s="11">
        <f>IF(H42&gt;15000,"High Performer","Standard")</f>
        <v/>
      </c>
    </row>
    <row r="43" ht="20" customHeight="1">
      <c r="A43" s="6" t="inlineStr">
        <is>
          <t>TXN-1039</t>
        </is>
      </c>
      <c r="B43" s="7" t="n">
        <v>46105</v>
      </c>
      <c r="C43" s="6" t="inlineStr">
        <is>
          <t>Midwest</t>
        </is>
      </c>
      <c r="D43" s="8" t="inlineStr">
        <is>
          <t>Barry Allen</t>
        </is>
      </c>
      <c r="E43" s="8" t="inlineStr">
        <is>
          <t>Hardware Systems</t>
        </is>
      </c>
      <c r="F43" s="9" t="n">
        <v>128</v>
      </c>
      <c r="G43" s="10" t="n">
        <v>250</v>
      </c>
      <c r="H43" s="10">
        <f>F43*G43</f>
        <v/>
      </c>
      <c r="I43" s="6">
        <f>IF(H43&gt;15000,"High Performer","Standard")</f>
        <v/>
      </c>
    </row>
    <row r="44" ht="20" customHeight="1">
      <c r="A44" s="11" t="inlineStr">
        <is>
          <t>TXN-1040</t>
        </is>
      </c>
      <c r="B44" s="12" t="n">
        <v>46107</v>
      </c>
      <c r="C44" s="11" t="inlineStr">
        <is>
          <t>North</t>
        </is>
      </c>
      <c r="D44" s="13" t="inlineStr">
        <is>
          <t>Alex Mercer</t>
        </is>
      </c>
      <c r="E44" s="13" t="inlineStr">
        <is>
          <t>Enterprise Software</t>
        </is>
      </c>
      <c r="F44" s="14" t="n">
        <v>79</v>
      </c>
      <c r="G44" s="15" t="n">
        <v>500</v>
      </c>
      <c r="H44" s="15">
        <f>F44*G44</f>
        <v/>
      </c>
      <c r="I44" s="11">
        <f>IF(H44&gt;15000,"High Performer","Standard")</f>
        <v/>
      </c>
    </row>
    <row r="45" ht="20" customHeight="1">
      <c r="A45" s="6" t="inlineStr">
        <is>
          <t>TXN-1041</t>
        </is>
      </c>
      <c r="B45" s="7" t="n">
        <v>46109</v>
      </c>
      <c r="C45" s="6" t="inlineStr">
        <is>
          <t>East</t>
        </is>
      </c>
      <c r="D45" s="8" t="inlineStr">
        <is>
          <t>Sarah Connor</t>
        </is>
      </c>
      <c r="E45" s="8" t="inlineStr">
        <is>
          <t>Consulting Services</t>
        </is>
      </c>
      <c r="F45" s="9" t="n">
        <v>66</v>
      </c>
      <c r="G45" s="10" t="n">
        <v>120</v>
      </c>
      <c r="H45" s="10">
        <f>F45*G45</f>
        <v/>
      </c>
      <c r="I45" s="6">
        <f>IF(H45&gt;15000,"High Performer","Standard")</f>
        <v/>
      </c>
    </row>
    <row r="46" ht="20" customHeight="1">
      <c r="A46" s="11" t="inlineStr">
        <is>
          <t>TXN-1042</t>
        </is>
      </c>
      <c r="B46" s="12" t="n">
        <v>46111</v>
      </c>
      <c r="C46" s="11" t="inlineStr">
        <is>
          <t>South</t>
        </is>
      </c>
      <c r="D46" s="13" t="inlineStr">
        <is>
          <t>Bruce Wayne</t>
        </is>
      </c>
      <c r="E46" s="13" t="inlineStr">
        <is>
          <t>Cloud Infrastructure</t>
        </is>
      </c>
      <c r="F46" s="14" t="n">
        <v>24</v>
      </c>
      <c r="G46" s="15" t="n">
        <v>89.98999999999999</v>
      </c>
      <c r="H46" s="15">
        <f>F46*G46</f>
        <v/>
      </c>
      <c r="I46" s="11">
        <f>IF(H46&gt;15000,"High Performer","Standard")</f>
        <v/>
      </c>
    </row>
    <row r="47" ht="20" customHeight="1">
      <c r="A47" s="6" t="inlineStr">
        <is>
          <t>TXN-1043</t>
        </is>
      </c>
      <c r="B47" s="7" t="n">
        <v>46113</v>
      </c>
      <c r="C47" s="6" t="inlineStr">
        <is>
          <t>West</t>
        </is>
      </c>
      <c r="D47" s="8" t="inlineStr">
        <is>
          <t>Diana Prince</t>
        </is>
      </c>
      <c r="E47" s="8" t="inlineStr">
        <is>
          <t>Cybersecurity Modules</t>
        </is>
      </c>
      <c r="F47" s="9" t="n">
        <v>18</v>
      </c>
      <c r="G47" s="10" t="n">
        <v>120</v>
      </c>
      <c r="H47" s="10">
        <f>F47*G47</f>
        <v/>
      </c>
      <c r="I47" s="6">
        <f>IF(H47&gt;15000,"High Performer","Standard")</f>
        <v/>
      </c>
    </row>
    <row r="48" ht="20" customHeight="1">
      <c r="A48" s="11" t="inlineStr">
        <is>
          <t>TXN-1044</t>
        </is>
      </c>
      <c r="B48" s="12" t="n">
        <v>46115</v>
      </c>
      <c r="C48" s="11" t="inlineStr">
        <is>
          <t>Midwest</t>
        </is>
      </c>
      <c r="D48" s="13" t="inlineStr">
        <is>
          <t>Tony Stark</t>
        </is>
      </c>
      <c r="E48" s="13" t="inlineStr">
        <is>
          <t>Hardware Systems</t>
        </is>
      </c>
      <c r="F48" s="14" t="n">
        <v>112</v>
      </c>
      <c r="G48" s="15" t="n">
        <v>120</v>
      </c>
      <c r="H48" s="15">
        <f>F48*G48</f>
        <v/>
      </c>
      <c r="I48" s="11">
        <f>IF(H48&gt;15000,"High Performer","Standard")</f>
        <v/>
      </c>
    </row>
    <row r="49" ht="20" customHeight="1">
      <c r="A49" s="6" t="inlineStr">
        <is>
          <t>TXN-1045</t>
        </is>
      </c>
      <c r="B49" s="7" t="n">
        <v>46117</v>
      </c>
      <c r="C49" s="6" t="inlineStr">
        <is>
          <t>North</t>
        </is>
      </c>
      <c r="D49" s="8" t="inlineStr">
        <is>
          <t>Elena Gilbert</t>
        </is>
      </c>
      <c r="E49" s="8" t="inlineStr">
        <is>
          <t>Enterprise Software</t>
        </is>
      </c>
      <c r="F49" s="9" t="n">
        <v>26</v>
      </c>
      <c r="G49" s="10" t="n">
        <v>89.98999999999999</v>
      </c>
      <c r="H49" s="10">
        <f>F49*G49</f>
        <v/>
      </c>
      <c r="I49" s="6">
        <f>IF(H49&gt;15000,"High Performer","Standard")</f>
        <v/>
      </c>
    </row>
    <row r="50" ht="20" customHeight="1">
      <c r="A50" s="11" t="inlineStr">
        <is>
          <t>TXN-1046</t>
        </is>
      </c>
      <c r="B50" s="12" t="n">
        <v>46119</v>
      </c>
      <c r="C50" s="11" t="inlineStr">
        <is>
          <t>East</t>
        </is>
      </c>
      <c r="D50" s="13" t="inlineStr">
        <is>
          <t>Clark Kent</t>
        </is>
      </c>
      <c r="E50" s="13" t="inlineStr">
        <is>
          <t>Consulting Services</t>
        </is>
      </c>
      <c r="F50" s="14" t="n">
        <v>90</v>
      </c>
      <c r="G50" s="15" t="n">
        <v>89.98999999999999</v>
      </c>
      <c r="H50" s="15">
        <f>F50*G50</f>
        <v/>
      </c>
      <c r="I50" s="11">
        <f>IF(H50&gt;15000,"High Performer","Standard")</f>
        <v/>
      </c>
    </row>
    <row r="51" ht="20" customHeight="1">
      <c r="A51" s="6" t="inlineStr">
        <is>
          <t>TXN-1047</t>
        </is>
      </c>
      <c r="B51" s="7" t="n">
        <v>46121</v>
      </c>
      <c r="C51" s="6" t="inlineStr">
        <is>
          <t>South</t>
        </is>
      </c>
      <c r="D51" s="8" t="inlineStr">
        <is>
          <t>Barry Allen</t>
        </is>
      </c>
      <c r="E51" s="8" t="inlineStr">
        <is>
          <t>Cloud Infrastructure</t>
        </is>
      </c>
      <c r="F51" s="9" t="n">
        <v>137</v>
      </c>
      <c r="G51" s="10" t="n">
        <v>250</v>
      </c>
      <c r="H51" s="10">
        <f>F51*G51</f>
        <v/>
      </c>
      <c r="I51" s="6">
        <f>IF(H51&gt;15000,"High Performer","Standard")</f>
        <v/>
      </c>
    </row>
    <row r="52" ht="20" customHeight="1">
      <c r="A52" s="11" t="inlineStr">
        <is>
          <t>TXN-1048</t>
        </is>
      </c>
      <c r="B52" s="12" t="n">
        <v>46123</v>
      </c>
      <c r="C52" s="11" t="inlineStr">
        <is>
          <t>West</t>
        </is>
      </c>
      <c r="D52" s="13" t="inlineStr">
        <is>
          <t>Alex Mercer</t>
        </is>
      </c>
      <c r="E52" s="13" t="inlineStr">
        <is>
          <t>Cybersecurity Modules</t>
        </is>
      </c>
      <c r="F52" s="14" t="n">
        <v>127</v>
      </c>
      <c r="G52" s="15" t="n">
        <v>89.98999999999999</v>
      </c>
      <c r="H52" s="15">
        <f>F52*G52</f>
        <v/>
      </c>
      <c r="I52" s="11">
        <f>IF(H52&gt;15000,"High Performer","Standard")</f>
        <v/>
      </c>
    </row>
    <row r="53" ht="20" customHeight="1">
      <c r="A53" s="6" t="inlineStr">
        <is>
          <t>TXN-1049</t>
        </is>
      </c>
      <c r="B53" s="7" t="n">
        <v>46125</v>
      </c>
      <c r="C53" s="6" t="inlineStr">
        <is>
          <t>Midwest</t>
        </is>
      </c>
      <c r="D53" s="8" t="inlineStr">
        <is>
          <t>Sarah Connor</t>
        </is>
      </c>
      <c r="E53" s="8" t="inlineStr">
        <is>
          <t>Hardware Systems</t>
        </is>
      </c>
      <c r="F53" s="9" t="n">
        <v>77</v>
      </c>
      <c r="G53" s="10" t="n">
        <v>89.98999999999999</v>
      </c>
      <c r="H53" s="10">
        <f>F53*G53</f>
        <v/>
      </c>
      <c r="I53" s="6">
        <f>IF(H53&gt;15000,"High Performer","Standard")</f>
        <v/>
      </c>
    </row>
    <row r="54" ht="20" customHeight="1">
      <c r="A54" s="11" t="inlineStr">
        <is>
          <t>TXN-1050</t>
        </is>
      </c>
      <c r="B54" s="12" t="n">
        <v>46127</v>
      </c>
      <c r="C54" s="11" t="inlineStr">
        <is>
          <t>North</t>
        </is>
      </c>
      <c r="D54" s="13" t="inlineStr">
        <is>
          <t>Bruce Wayne</t>
        </is>
      </c>
      <c r="E54" s="13" t="inlineStr">
        <is>
          <t>Enterprise Software</t>
        </is>
      </c>
      <c r="F54" s="14" t="n">
        <v>73</v>
      </c>
      <c r="G54" s="15" t="n">
        <v>500</v>
      </c>
      <c r="H54" s="15">
        <f>F54*G54</f>
        <v/>
      </c>
      <c r="I54" s="11">
        <f>IF(H54&gt;15000,"High Performer","Standard")</f>
        <v/>
      </c>
    </row>
    <row r="55" ht="24" customHeight="1">
      <c r="A55" s="16" t="inlineStr">
        <is>
          <t>Total Summary</t>
        </is>
      </c>
      <c r="B55" s="17" t="n"/>
      <c r="C55" s="17" t="n"/>
      <c r="D55" s="17" t="n"/>
      <c r="E55" s="17" t="n"/>
      <c r="F55" s="18">
        <f>SUM(F5:F54)</f>
        <v/>
      </c>
      <c r="G55" s="17" t="n"/>
      <c r="H55" s="19">
        <f>SUM(H5:H54)</f>
        <v/>
      </c>
      <c r="I55" s="17" t="n"/>
    </row>
  </sheetData>
  <conditionalFormatting sqref="I5:I54">
    <cfRule type="cellIs" priority="1" operator="equal" dxfId="0">
      <formula>"High Performer"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2026-06-22T15:12:27Z</dcterms:created>
  <dcterms:modified xmlns:dcterms="http://purl.org/dc/terms/" xmlns:xsi="http://www.w3.org/2001/XMLSchema-instance" xsi:type="dcterms:W3CDTF">2026-06-22T15:12:27Z</dcterms:modified>
</cp:coreProperties>
</file>